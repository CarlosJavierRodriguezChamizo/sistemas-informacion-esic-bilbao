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istemas" sheetId="2" state="visible" r:id="rId2"/>
    <sheet name="Clientes" sheetId="3" state="visible" r:id="rId3"/>
    <sheet name="Pedi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00133F"/>
      <sz val="16"/>
    </font>
    <font>
      <name val="Arial"/>
      <color rgb="00000000"/>
      <sz val="10"/>
    </font>
    <font>
      <name val="Arial"/>
      <color rgb="00000000"/>
      <sz val="11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00133F"/>
      </patternFill>
    </fill>
  </fills>
  <borders count="2">
    <border>
      <left/>
      <right/>
      <top/>
      <bottom/>
      <diagonal/>
    </border>
    <border>
      <left style="thin">
        <color rgb="00D5DDF5"/>
      </left>
      <right style="thin">
        <color rgb="00D5DDF5"/>
      </right>
      <top style="thin">
        <color rgb="00D5DDF5"/>
      </top>
      <bottom style="thin">
        <color rgb="00D5DDF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Caso Grupo Gorbea — Validación del dato</t>
        </is>
      </c>
    </row>
    <row r="2">
      <c r="A2" s="2" t="inlineStr"/>
    </row>
    <row r="3">
      <c r="A3" s="3" t="inlineStr">
        <is>
          <t>Este libro es el dataset del caso. Antes de analizar nada, AUDITA su calidad.</t>
        </is>
      </c>
    </row>
    <row r="4">
      <c r="A4" s="2" t="inlineStr"/>
    </row>
    <row r="5">
      <c r="A5" s="4" t="inlineStr">
        <is>
          <t>Qué tienes que hacer:</t>
        </is>
      </c>
    </row>
    <row r="6">
      <c r="A6" s="2" t="inlineStr">
        <is>
          <t>1) Revisa a fondo las hojas «Sistemas», «Clientes» y «Pedidos».</t>
        </is>
      </c>
    </row>
    <row r="7">
      <c r="A7" s="2" t="inlineStr">
        <is>
          <t>2) No te fíes solo de lo que se ve: comprueba tipos de celda, fórmulas, el orden por fecha,</t>
        </is>
      </c>
    </row>
    <row r="8">
      <c r="A8" s="2" t="inlineStr">
        <is>
          <t xml:space="preserve">   los duplicados, los espacios ocultos y la coherencia ENTRE hojas.</t>
        </is>
      </c>
    </row>
    <row r="9">
      <c r="A9" s="2" t="inlineStr">
        <is>
          <t>3) Documenta al menos 5 problemas. Para cada uno: hoja y celda · tipo de error · impacto en el análisis.</t>
        </is>
      </c>
    </row>
    <row r="10">
      <c r="A10" s="2" t="inlineStr">
        <is>
          <t>4) Propón cómo lo corregirías. Se valora la justificación y el impacto de negocio, no solo la lista.</t>
        </is>
      </c>
    </row>
    <row r="11">
      <c r="A11" s="2" t="inlineStr"/>
    </row>
    <row r="12">
      <c r="A12" s="2" t="inlineStr">
        <is>
          <t>Pista: hay bastantes más de 5. Prioriza los que más daño hacen al negocio.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6" customWidth="1" min="3" max="3"/>
    <col width="16" customWidth="1" min="4" max="4"/>
    <col width="10" customWidth="1" min="5" max="5"/>
    <col width="8" customWidth="1" min="6" max="6"/>
    <col width="14" customWidth="1" min="7" max="7"/>
    <col width="12" customWidth="1" min="8" max="8"/>
    <col width="14" customWidth="1" min="9" max="9"/>
  </cols>
  <sheetData>
    <row r="1">
      <c r="A1" s="5" t="inlineStr">
        <is>
          <t>ID</t>
        </is>
      </c>
      <c r="B1" s="5" t="inlineStr">
        <is>
          <t>Sistema</t>
        </is>
      </c>
      <c r="C1" s="5" t="inlineStr">
        <is>
          <t>Proveedor</t>
        </is>
      </c>
      <c r="D1" s="5" t="inlineStr">
        <is>
          <t>Tipo</t>
        </is>
      </c>
      <c r="E1" s="5" t="inlineStr">
        <is>
          <t>Nivel</t>
        </is>
      </c>
      <c r="F1" s="5" t="inlineStr">
        <is>
          <t>Año</t>
        </is>
      </c>
      <c r="G1" s="5" t="inlineStr">
        <is>
          <t>Inversión (k€)</t>
        </is>
      </c>
      <c r="H1" s="5" t="inlineStr">
        <is>
          <t>Integrado</t>
        </is>
      </c>
      <c r="I1" s="5" t="inlineStr">
        <is>
          <t>Incidencias/mes</t>
        </is>
      </c>
    </row>
    <row r="2">
      <c r="A2" s="6" t="n">
        <v>1</v>
      </c>
      <c r="B2" s="6" t="inlineStr">
        <is>
          <t>Microsoft Dynamics 365</t>
        </is>
      </c>
      <c r="C2" s="6" t="inlineStr">
        <is>
          <t>Microsoft</t>
        </is>
      </c>
      <c r="D2" s="6" t="inlineStr">
        <is>
          <t>ERP</t>
        </is>
      </c>
      <c r="E2" s="6" t="inlineStr">
        <is>
          <t>TPS/MIS</t>
        </is>
      </c>
      <c r="F2" s="6" t="n">
        <v>2022</v>
      </c>
      <c r="G2" s="6" t="n">
        <v>7900</v>
      </c>
      <c r="H2" s="6" t="inlineStr">
        <is>
          <t>SI</t>
        </is>
      </c>
      <c r="I2" s="6" t="n">
        <v>5</v>
      </c>
    </row>
    <row r="3">
      <c r="A3" s="6" t="n">
        <v>2</v>
      </c>
      <c r="B3" s="6" t="inlineStr">
        <is>
          <t>HubSpot Sales</t>
        </is>
      </c>
      <c r="C3" s="6" t="inlineStr">
        <is>
          <t>HubSpot</t>
        </is>
      </c>
      <c r="D3" s="6" t="inlineStr">
        <is>
          <t>CRM</t>
        </is>
      </c>
      <c r="E3" s="6" t="inlineStr">
        <is>
          <t>MIS</t>
        </is>
      </c>
      <c r="F3" s="6" t="n">
        <v>2021</v>
      </c>
      <c r="G3" s="6" t="n">
        <v>1500</v>
      </c>
      <c r="H3" s="6" t="inlineStr">
        <is>
          <t>sí</t>
        </is>
      </c>
      <c r="I3" s="6" t="n">
        <v>-6</v>
      </c>
    </row>
    <row r="4">
      <c r="A4" s="6" t="n">
        <v>3</v>
      </c>
      <c r="B4" s="6" t="inlineStr">
        <is>
          <t>Adobe Commerce</t>
        </is>
      </c>
      <c r="C4" s="6" t="inlineStr">
        <is>
          <t>Adobe</t>
        </is>
      </c>
      <c r="D4" s="6" t="inlineStr">
        <is>
          <t>CRM/Commerce</t>
        </is>
      </c>
      <c r="E4" s="6" t="inlineStr">
        <is>
          <t>TPS</t>
        </is>
      </c>
      <c r="F4" s="6" t="n">
        <v>2021</v>
      </c>
      <c r="G4" s="6" t="n">
        <v>3100</v>
      </c>
      <c r="H4" s="6" t="inlineStr">
        <is>
          <t>Y</t>
        </is>
      </c>
      <c r="I4" s="6" t="n">
        <v>10</v>
      </c>
    </row>
    <row r="5">
      <c r="A5" s="6" t="n">
        <v>4</v>
      </c>
      <c r="B5" s="6" t="inlineStr">
        <is>
          <t>Snowflake</t>
        </is>
      </c>
      <c r="C5" s="6" t="inlineStr">
        <is>
          <t>Snowflake</t>
        </is>
      </c>
      <c r="D5" s="6" t="inlineStr">
        <is>
          <t>BI/DSS</t>
        </is>
      </c>
      <c r="E5" s="6" t="inlineStr">
        <is>
          <t>DSS</t>
        </is>
      </c>
      <c r="F5" s="6" t="n">
        <v>2023</v>
      </c>
      <c r="G5" s="6" t="n">
        <v>1100</v>
      </c>
      <c r="H5" s="6" t="inlineStr">
        <is>
          <t>TRUE</t>
        </is>
      </c>
      <c r="I5" s="6" t="n">
        <v>4</v>
      </c>
    </row>
    <row r="6">
      <c r="A6" s="6" t="n">
        <v>5</v>
      </c>
      <c r="B6" s="6" t="inlineStr">
        <is>
          <t>Qlik Sense</t>
        </is>
      </c>
      <c r="C6" s="6" t="inlineStr">
        <is>
          <t>Qlik</t>
        </is>
      </c>
      <c r="D6" s="6" t="inlineStr">
        <is>
          <t>BI/EIS</t>
        </is>
      </c>
      <c r="E6" s="6" t="inlineStr">
        <is>
          <t>EIS</t>
        </is>
      </c>
      <c r="F6" s="6" t="n">
        <v>2027</v>
      </c>
      <c r="G6" s="6" t="n">
        <v>300</v>
      </c>
      <c r="H6" s="6" t="inlineStr">
        <is>
          <t>1</t>
        </is>
      </c>
      <c r="I6" s="6" t="n">
        <v>2</v>
      </c>
    </row>
    <row r="7">
      <c r="A7" s="6" t="n">
        <v>6</v>
      </c>
      <c r="B7" s="6" t="inlineStr">
        <is>
          <t>Freshdesk</t>
        </is>
      </c>
      <c r="C7" s="6" t="inlineStr">
        <is>
          <t>Freshworks</t>
        </is>
      </c>
      <c r="D7" s="6" t="inlineStr">
        <is>
          <t>CRM/Servicio</t>
        </is>
      </c>
      <c r="E7" s="6" t="inlineStr">
        <is>
          <t>TPS</t>
        </is>
      </c>
      <c r="F7" s="6" t="n">
        <v>2020</v>
      </c>
      <c r="G7" s="6" t="n">
        <v>260</v>
      </c>
      <c r="H7" s="6" t="inlineStr">
        <is>
          <t>Si</t>
        </is>
      </c>
      <c r="I7" s="6" t="n">
        <v>7</v>
      </c>
    </row>
    <row r="8">
      <c r="A8" s="6" t="n">
        <v>7</v>
      </c>
      <c r="B8" s="6" t="inlineStr">
        <is>
          <t>Blue Yonder WMS</t>
        </is>
      </c>
      <c r="C8" s="6" t="inlineStr">
        <is>
          <t>Blue Yonder</t>
        </is>
      </c>
      <c r="D8" s="6" t="inlineStr">
        <is>
          <t>SCM</t>
        </is>
      </c>
      <c r="E8" s="6" t="inlineStr">
        <is>
          <t>TPS</t>
        </is>
      </c>
      <c r="F8" s="6" t="n">
        <v>2022</v>
      </c>
      <c r="G8" s="6" t="inlineStr">
        <is>
          <t>2300</t>
        </is>
      </c>
      <c r="H8" s="6" t="inlineStr">
        <is>
          <t>0</t>
        </is>
      </c>
      <c r="I8" s="6" t="n">
        <v>19</v>
      </c>
    </row>
    <row r="9">
      <c r="A9" s="6" t="n">
        <v>8</v>
      </c>
      <c r="B9" s="6" t="inlineStr">
        <is>
          <t>AS/400 Legacy</t>
        </is>
      </c>
      <c r="C9" s="6" t="inlineStr">
        <is>
          <t>IBM (legado)</t>
        </is>
      </c>
      <c r="D9" s="6" t="inlineStr">
        <is>
          <t>ERP legacy (B2B)</t>
        </is>
      </c>
      <c r="E9" s="6" t="inlineStr">
        <is>
          <t>TPS</t>
        </is>
      </c>
      <c r="F9" s="6" t="n">
        <v>2008</v>
      </c>
      <c r="G9" s="6" t="n">
        <v>60</v>
      </c>
      <c r="H9" s="6" t="inlineStr">
        <is>
          <t>NO</t>
        </is>
      </c>
      <c r="I9" s="6" t="n">
        <v>24</v>
      </c>
    </row>
    <row r="10">
      <c r="A10" s="6" t="n">
        <v>9</v>
      </c>
      <c r="B10" s="6" t="inlineStr">
        <is>
          <t>Matomo Analytics</t>
        </is>
      </c>
      <c r="C10" s="6" t="inlineStr">
        <is>
          <t>Matomo</t>
        </is>
      </c>
      <c r="D10" s="6" t="inlineStr">
        <is>
          <t>BI/Analytics</t>
        </is>
      </c>
      <c r="E10" s="6" t="inlineStr">
        <is>
          <t>DSS</t>
        </is>
      </c>
      <c r="F10" s="6" t="n">
        <v>2023</v>
      </c>
      <c r="G10" s="6" t="n"/>
      <c r="H10" s="6" t="inlineStr">
        <is>
          <t>parcial</t>
        </is>
      </c>
      <c r="I10" s="6" t="n">
        <v>3</v>
      </c>
    </row>
    <row r="11">
      <c r="A11" s="6" t="n">
        <v>10</v>
      </c>
      <c r="B11" s="6" t="inlineStr">
        <is>
          <t>Klaviyo</t>
        </is>
      </c>
      <c r="C11" s="6" t="inlineStr">
        <is>
          <t>Klaviyo</t>
        </is>
      </c>
      <c r="D11" s="6" t="inlineStr">
        <is>
          <t>CRM/Marketing</t>
        </is>
      </c>
      <c r="E11" s="6" t="inlineStr">
        <is>
          <t>MIS</t>
        </is>
      </c>
      <c r="F11" s="6" t="n">
        <v>2022</v>
      </c>
      <c r="G11" s="6" t="n">
        <v>540</v>
      </c>
      <c r="H11" s="6" t="inlineStr">
        <is>
          <t>yes</t>
        </is>
      </c>
      <c r="I11" s="6" t="n">
        <v>6</v>
      </c>
    </row>
    <row r="12">
      <c r="A12" s="6" t="n">
        <v>11</v>
      </c>
      <c r="B12" s="6" t="inlineStr">
        <is>
          <t>Trustpilot</t>
        </is>
      </c>
      <c r="C12" s="6" t="inlineStr">
        <is>
          <t>Trustpilot</t>
        </is>
      </c>
      <c r="D12" s="6" t="inlineStr">
        <is>
          <t>CRM/UGC</t>
        </is>
      </c>
      <c r="E12" s="6" t="inlineStr">
        <is>
          <t>MIS</t>
        </is>
      </c>
      <c r="F12" s="6" t="n">
        <v>2023</v>
      </c>
      <c r="G12" s="6" t="n">
        <v>180</v>
      </c>
      <c r="H12" s="6" t="inlineStr">
        <is>
          <t>Parcial</t>
        </is>
      </c>
      <c r="I12" s="6" t="n">
        <v>2</v>
      </c>
    </row>
    <row r="13">
      <c r="A13" s="6" t="n">
        <v>12</v>
      </c>
      <c r="B13" s="6" t="inlineStr">
        <is>
          <t>Gorbea+ App</t>
        </is>
      </c>
      <c r="C13" s="6" t="inlineStr">
        <is>
          <t>Dpto. IT (desarrollo propio)</t>
        </is>
      </c>
      <c r="D13" s="6" t="inlineStr">
        <is>
          <t>CRM/Loyalty</t>
        </is>
      </c>
      <c r="E13" s="6" t="inlineStr">
        <is>
          <t>TPS</t>
        </is>
      </c>
      <c r="F13" s="6" t="n">
        <v>2020</v>
      </c>
      <c r="G13" s="6" t="inlineStr">
        <is>
          <t>3.760</t>
        </is>
      </c>
      <c r="H13" s="6" t="inlineStr">
        <is>
          <t>n</t>
        </is>
      </c>
      <c r="I13" s="6" t="n">
        <v>17</v>
      </c>
    </row>
    <row r="14">
      <c r="A14" s="6" t="n">
        <v>6</v>
      </c>
      <c r="B14" s="6" t="inlineStr">
        <is>
          <t xml:space="preserve">Freshdesk </t>
        </is>
      </c>
      <c r="C14" s="6" t="inlineStr">
        <is>
          <t>Freshworks</t>
        </is>
      </c>
      <c r="D14" s="6" t="inlineStr">
        <is>
          <t>CRM/Servicio</t>
        </is>
      </c>
      <c r="E14" s="6" t="inlineStr">
        <is>
          <t>TPS</t>
        </is>
      </c>
      <c r="F14" s="6" t="n">
        <v>2020</v>
      </c>
      <c r="G14" s="6" t="n">
        <v>260</v>
      </c>
      <c r="H14" s="6" t="inlineStr">
        <is>
          <t>Si</t>
        </is>
      </c>
      <c r="I14" s="6" t="n">
        <v>8</v>
      </c>
    </row>
    <row r="15">
      <c r="A15" s="6" t="inlineStr"/>
      <c r="B15" s="6" t="inlineStr">
        <is>
          <t>TOTAL</t>
        </is>
      </c>
      <c r="C15" s="6" t="inlineStr"/>
      <c r="D15" s="6" t="inlineStr"/>
      <c r="E15" s="6" t="inlineStr"/>
      <c r="F15" s="6" t="inlineStr"/>
      <c r="G15" s="6">
        <f>SUM(G2:G14)</f>
        <v/>
      </c>
      <c r="H15" s="6" t="inlineStr"/>
      <c r="I15" s="6">
        <f>SUM(I2:I14)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4" customWidth="1" min="3" max="3"/>
    <col width="38" customWidth="1" min="4" max="4"/>
    <col width="18" customWidth="1" min="5" max="5"/>
    <col width="12" customWidth="1" min="6" max="6"/>
    <col width="13" customWidth="1" min="7" max="7"/>
    <col width="20" customWidth="1" min="8" max="8"/>
  </cols>
  <sheetData>
    <row r="1">
      <c r="A1" s="5" t="inlineStr">
        <is>
          <t>ID Cliente</t>
        </is>
      </c>
      <c r="B1" s="5" t="inlineStr">
        <is>
          <t>Nombre</t>
        </is>
      </c>
      <c r="C1" s="5" t="inlineStr">
        <is>
          <t>Segmento</t>
        </is>
      </c>
      <c r="D1" s="5" t="inlineStr">
        <is>
          <t>Email</t>
        </is>
      </c>
      <c r="E1" s="5" t="inlineStr">
        <is>
          <t>Teléfono</t>
        </is>
      </c>
      <c r="F1" s="5" t="inlineStr">
        <is>
          <t>Provincia</t>
        </is>
      </c>
      <c r="G1" s="5" t="inlineStr">
        <is>
          <t>Fecha alta</t>
        </is>
      </c>
      <c r="H1" s="5" t="inlineStr">
        <is>
          <t>Consentimiento RGPD</t>
        </is>
      </c>
    </row>
    <row r="2">
      <c r="A2" s="6" t="inlineStr">
        <is>
          <t>C001</t>
        </is>
      </c>
      <c r="B2" s="6" t="inlineStr">
        <is>
          <t>Aitor Etxeberria</t>
        </is>
      </c>
      <c r="C2" s="6" t="inlineStr">
        <is>
          <t>Club B2B</t>
        </is>
      </c>
      <c r="D2" s="6" t="inlineStr">
        <is>
          <t>aitor.etxeberria@hosteleria-aranzadi.eus</t>
        </is>
      </c>
      <c r="E2" s="6" t="inlineStr">
        <is>
          <t>+34 944 21 05 66</t>
        </is>
      </c>
      <c r="F2" s="6" t="inlineStr">
        <is>
          <t>Bizkaia</t>
        </is>
      </c>
      <c r="G2" s="7" t="n">
        <v>42441</v>
      </c>
      <c r="H2" s="6" t="inlineStr">
        <is>
          <t>Sí</t>
        </is>
      </c>
    </row>
    <row r="3">
      <c r="A3" s="6" t="inlineStr">
        <is>
          <t>C002</t>
        </is>
      </c>
      <c r="B3" s="6" t="inlineStr">
        <is>
          <t>Nekane Agirre</t>
        </is>
      </c>
      <c r="C3" s="6" t="inlineStr">
        <is>
          <t>Particular</t>
        </is>
      </c>
      <c r="D3" s="6" t="inlineStr">
        <is>
          <t>nekane.agirre@gmail.com</t>
        </is>
      </c>
      <c r="E3" s="6" t="inlineStr">
        <is>
          <t>688 45 12 09</t>
        </is>
      </c>
      <c r="F3" s="6" t="inlineStr">
        <is>
          <t>Gipuzkoa</t>
        </is>
      </c>
      <c r="G3" s="7" t="n">
        <v>43282</v>
      </c>
      <c r="H3" s="6" t="inlineStr">
        <is>
          <t>Sí</t>
        </is>
      </c>
    </row>
    <row r="4">
      <c r="A4" s="6" t="inlineStr">
        <is>
          <t>C003</t>
        </is>
      </c>
      <c r="B4" s="6" t="inlineStr">
        <is>
          <t>Jon Uribe</t>
        </is>
      </c>
      <c r="C4" s="6" t="inlineStr">
        <is>
          <t>Club B2B</t>
        </is>
      </c>
      <c r="D4" s="6" t="inlineStr">
        <is>
          <t>jon.uribe@bar-gorbea.eus</t>
        </is>
      </c>
      <c r="E4" s="6" t="inlineStr">
        <is>
          <t>944120345</t>
        </is>
      </c>
      <c r="F4" s="6" t="inlineStr">
        <is>
          <t>Vizcaya</t>
        </is>
      </c>
      <c r="G4" s="7" t="n">
        <v>43059</v>
      </c>
      <c r="H4" s="6" t="inlineStr">
        <is>
          <t>No</t>
        </is>
      </c>
    </row>
    <row r="5">
      <c r="A5" s="6" t="inlineStr">
        <is>
          <t>C004</t>
        </is>
      </c>
      <c r="B5" s="6" t="inlineStr">
        <is>
          <t>María López</t>
        </is>
      </c>
      <c r="C5" s="6" t="inlineStr">
        <is>
          <t>Particular</t>
        </is>
      </c>
      <c r="D5" s="6" t="inlineStr">
        <is>
          <t>maria.lopez.gorbea.eus</t>
        </is>
      </c>
      <c r="E5" s="6" t="inlineStr">
        <is>
          <t>+34 600 11 22 33</t>
        </is>
      </c>
      <c r="F5" s="6" t="inlineStr">
        <is>
          <t>Araba</t>
        </is>
      </c>
      <c r="G5" s="7" t="n">
        <v>43501</v>
      </c>
      <c r="H5" s="6" t="inlineStr">
        <is>
          <t>Sí</t>
        </is>
      </c>
    </row>
    <row r="6">
      <c r="A6" s="6" t="inlineStr">
        <is>
          <t>C005</t>
        </is>
      </c>
      <c r="B6" s="6" t="inlineStr">
        <is>
          <t>Iker Zubizarreta</t>
        </is>
      </c>
      <c r="C6" s="6" t="inlineStr">
        <is>
          <t>B2B</t>
        </is>
      </c>
      <c r="D6" s="6" t="inlineStr">
        <is>
          <t>iker.z@restaurante-nervion.eus</t>
        </is>
      </c>
      <c r="E6" s="6" t="inlineStr">
        <is>
          <t>94-412-98-76</t>
        </is>
      </c>
      <c r="F6" s="6" t="inlineStr">
        <is>
          <t>Bizkaia</t>
        </is>
      </c>
      <c r="G6" s="6" t="inlineStr">
        <is>
          <t>12/03/2019</t>
        </is>
      </c>
      <c r="H6" s="6" t="inlineStr">
        <is>
          <t>Sí</t>
        </is>
      </c>
    </row>
    <row r="7">
      <c r="A7" s="6" t="inlineStr">
        <is>
          <t>C006</t>
        </is>
      </c>
      <c r="B7" s="6" t="inlineStr">
        <is>
          <t>Amaia Fernández</t>
        </is>
      </c>
      <c r="C7" s="6" t="inlineStr">
        <is>
          <t>Particular</t>
        </is>
      </c>
      <c r="D7" s="6" t="n"/>
      <c r="E7" s="6" t="inlineStr">
        <is>
          <t>677889900</t>
        </is>
      </c>
      <c r="F7" s="6" t="inlineStr">
        <is>
          <t>Gipuzkoa</t>
        </is>
      </c>
      <c r="G7" s="7" t="n">
        <v>44088</v>
      </c>
      <c r="H7" s="6" t="n"/>
    </row>
    <row r="8">
      <c r="A8" s="6" t="inlineStr">
        <is>
          <t>C007</t>
        </is>
      </c>
      <c r="B8" s="6" t="inlineStr">
        <is>
          <t>Aitor Etxeberria</t>
        </is>
      </c>
      <c r="C8" s="6" t="inlineStr">
        <is>
          <t>Club B2B</t>
        </is>
      </c>
      <c r="D8" s="6" t="inlineStr">
        <is>
          <t>aitor.etxeberria@hosteleria-aranzadi.eus</t>
        </is>
      </c>
      <c r="E8" s="6" t="inlineStr">
        <is>
          <t>+34 944 21 05 66</t>
        </is>
      </c>
      <c r="F8" s="6" t="inlineStr">
        <is>
          <t>Bizkaia</t>
        </is>
      </c>
      <c r="G8" s="7" t="n">
        <v>42441</v>
      </c>
      <c r="H8" s="6" t="inlineStr">
        <is>
          <t>Sí</t>
        </is>
      </c>
    </row>
    <row r="9">
      <c r="A9" s="6" t="inlineStr">
        <is>
          <t>C008</t>
        </is>
      </c>
      <c r="B9" s="6" t="inlineStr">
        <is>
          <t>Leire Gómez</t>
        </is>
      </c>
      <c r="C9" s="6" t="inlineStr">
        <is>
          <t>CLUB_B2B</t>
        </is>
      </c>
      <c r="D9" s="6" t="inlineStr">
        <is>
          <t>leire.gomez@cafeteria-abando.eus</t>
        </is>
      </c>
      <c r="E9" s="6" t="inlineStr">
        <is>
          <t>688120945</t>
        </is>
      </c>
      <c r="F9" s="6" t="inlineStr">
        <is>
          <t>BI</t>
        </is>
      </c>
      <c r="G9" s="7" t="n">
        <v>44346</v>
      </c>
      <c r="H9" s="6" t="inlineStr">
        <is>
          <t>1</t>
        </is>
      </c>
    </row>
    <row r="10">
      <c r="A10" s="6" t="inlineStr">
        <is>
          <t>C009</t>
        </is>
      </c>
      <c r="B10" s="6" t="inlineStr">
        <is>
          <t>Unai Castro</t>
        </is>
      </c>
      <c r="C10" s="6" t="inlineStr">
        <is>
          <t>Particular</t>
        </is>
      </c>
      <c r="D10" s="6" t="inlineStr">
        <is>
          <t>unai.castro@gmail.com</t>
        </is>
      </c>
      <c r="E10" s="6" t="inlineStr">
        <is>
          <t>6XX 12 34 56</t>
        </is>
      </c>
      <c r="F10" s="6" t="inlineStr">
        <is>
          <t>Bizkaia</t>
        </is>
      </c>
      <c r="G10" s="7" t="n">
        <v>44569</v>
      </c>
      <c r="H10" s="6" t="inlineStr">
        <is>
          <t>No</t>
        </is>
      </c>
    </row>
    <row r="11">
      <c r="A11" s="6" t="inlineStr">
        <is>
          <t>C010</t>
        </is>
      </c>
      <c r="B11" s="6" t="inlineStr">
        <is>
          <t>Ainhoa Ruiz</t>
        </is>
      </c>
      <c r="C11" s="6" t="inlineStr">
        <is>
          <t>Particular</t>
        </is>
      </c>
      <c r="D11" s="6" t="inlineStr">
        <is>
          <t>ainhoa.ruiz@hotmail.com</t>
        </is>
      </c>
      <c r="E11" s="6" t="inlineStr">
        <is>
          <t>699001122</t>
        </is>
      </c>
      <c r="F11" s="6" t="inlineStr">
        <is>
          <t>Gipuzkoa</t>
        </is>
      </c>
      <c r="G11" s="6" t="inlineStr">
        <is>
          <t>31/02/2021</t>
        </is>
      </c>
      <c r="H11" s="6" t="inlineStr">
        <is>
          <t>Sí</t>
        </is>
      </c>
    </row>
    <row r="12">
      <c r="A12" s="6" t="inlineStr">
        <is>
          <t>C010</t>
        </is>
      </c>
      <c r="B12" s="6" t="inlineStr">
        <is>
          <t>Gorka Santos</t>
        </is>
      </c>
      <c r="C12" s="6" t="inlineStr">
        <is>
          <t>Club B2B</t>
        </is>
      </c>
      <c r="D12" s="6" t="inlineStr">
        <is>
          <t>gorka.santos@asador-deusto.eus</t>
        </is>
      </c>
      <c r="E12" s="6" t="inlineStr">
        <is>
          <t>944556677</t>
        </is>
      </c>
      <c r="F12" s="6" t="inlineStr">
        <is>
          <t>Bizkaia</t>
        </is>
      </c>
      <c r="G12" s="7" t="n">
        <v>43572</v>
      </c>
      <c r="H12" s="6" t="inlineStr">
        <is>
          <t>Sí</t>
        </is>
      </c>
    </row>
    <row r="13">
      <c r="A13" s="6" t="inlineStr">
        <is>
          <t>C012</t>
        </is>
      </c>
      <c r="B13" s="6" t="inlineStr">
        <is>
          <t xml:space="preserve">Nekane Agirre </t>
        </is>
      </c>
      <c r="C13" s="6" t="inlineStr">
        <is>
          <t>Particular</t>
        </is>
      </c>
      <c r="D13" s="6" t="inlineStr">
        <is>
          <t>nekane.agirre@gmail.com</t>
        </is>
      </c>
      <c r="E13" s="6" t="inlineStr">
        <is>
          <t>688 45 12 09</t>
        </is>
      </c>
      <c r="F13" s="6" t="inlineStr">
        <is>
          <t>Gipuzkoa</t>
        </is>
      </c>
      <c r="G13" s="7" t="n">
        <v>43282</v>
      </c>
      <c r="H13" s="6" t="inlineStr">
        <is>
          <t>Sí</t>
        </is>
      </c>
    </row>
    <row r="14">
      <c r="A14" s="6" t="inlineStr">
        <is>
          <t>C013</t>
        </is>
      </c>
      <c r="B14" s="6" t="inlineStr">
        <is>
          <t>Mikel Ortiz</t>
        </is>
      </c>
      <c r="C14" s="6" t="inlineStr">
        <is>
          <t>Club B2B</t>
        </is>
      </c>
      <c r="D14" s="6" t="inlineStr">
        <is>
          <t>mikel.ortiz@bar-getxo.eus</t>
        </is>
      </c>
      <c r="E14" s="6" t="inlineStr">
        <is>
          <t>944778811</t>
        </is>
      </c>
      <c r="F14" s="6" t="inlineStr">
        <is>
          <t xml:space="preserve">bizkaia </t>
        </is>
      </c>
      <c r="G14" s="7" t="n">
        <v>44167</v>
      </c>
      <c r="H14" s="6" t="inlineStr">
        <is>
          <t>Sí</t>
        </is>
      </c>
    </row>
    <row r="15">
      <c r="A15" s="6" t="inlineStr">
        <is>
          <t>C014</t>
        </is>
      </c>
      <c r="B15" s="6" t="inlineStr">
        <is>
          <t>Sara Blanco</t>
        </is>
      </c>
      <c r="C15" s="6" t="inlineStr">
        <is>
          <t>Particular</t>
        </is>
      </c>
      <c r="D15" s="6" t="inlineStr">
        <is>
          <t>sara.blanco@gmail.com</t>
        </is>
      </c>
      <c r="E15" s="6" t="inlineStr">
        <is>
          <t>677445566</t>
        </is>
      </c>
      <c r="F15" s="6" t="inlineStr">
        <is>
          <t>Araba</t>
        </is>
      </c>
      <c r="G15" s="7" t="n">
        <v>40701</v>
      </c>
      <c r="H15" s="6" t="inlineStr">
        <is>
          <t>Sí</t>
        </is>
      </c>
    </row>
    <row r="16">
      <c r="A16" s="6" t="inlineStr">
        <is>
          <t>C015</t>
        </is>
      </c>
      <c r="B16" s="6" t="inlineStr">
        <is>
          <t>Danel Aramburu</t>
        </is>
      </c>
      <c r="C16" s="6" t="inlineStr">
        <is>
          <t>Club B2B</t>
        </is>
      </c>
      <c r="D16" s="6" t="inlineStr">
        <is>
          <t>danel@taberna-bilbo.eus</t>
        </is>
      </c>
      <c r="E16" s="6" t="inlineStr">
        <is>
          <t>944003344</t>
        </is>
      </c>
      <c r="F16" s="6" t="inlineStr">
        <is>
          <t>Bizkaia</t>
        </is>
      </c>
      <c r="G16" s="7" t="n">
        <v>46635</v>
      </c>
      <c r="H16" s="6" t="inlineStr">
        <is>
          <t>No</t>
        </is>
      </c>
    </row>
    <row r="17">
      <c r="A17" s="6" t="inlineStr">
        <is>
          <t>C016</t>
        </is>
      </c>
      <c r="B17" s="6" t="inlineStr">
        <is>
          <t>Julen Vega</t>
        </is>
      </c>
      <c r="C17" s="6" t="inlineStr">
        <is>
          <t>Particular</t>
        </is>
      </c>
      <c r="D17" s="6" t="inlineStr">
        <is>
          <t>julen.vega@gmail.com</t>
        </is>
      </c>
      <c r="E17" s="6" t="inlineStr">
        <is>
          <t>600998877</t>
        </is>
      </c>
      <c r="F17" s="6" t="inlineStr">
        <is>
          <t>Gipuzkoa</t>
        </is>
      </c>
      <c r="G17" s="7" t="n">
        <v>44274</v>
      </c>
      <c r="H17" s="6" t="inlineStr">
        <is>
          <t>Sí</t>
        </is>
      </c>
    </row>
    <row r="18">
      <c r="A18" s="6" t="inlineStr">
        <is>
          <t>C017</t>
        </is>
      </c>
      <c r="B18" s="6" t="inlineStr">
        <is>
          <t>Irati Molina</t>
        </is>
      </c>
      <c r="C18" s="6" t="inlineStr">
        <is>
          <t xml:space="preserve">particular </t>
        </is>
      </c>
      <c r="D18" s="6" t="inlineStr">
        <is>
          <t>irati.molina@gmail.com</t>
        </is>
      </c>
      <c r="E18" s="6" t="inlineStr">
        <is>
          <t>688332211</t>
        </is>
      </c>
      <c r="F18" s="6" t="inlineStr">
        <is>
          <t>Araba</t>
        </is>
      </c>
      <c r="G18" s="7" t="n">
        <v>44796</v>
      </c>
      <c r="H18" s="6" t="inlineStr">
        <is>
          <t>No</t>
        </is>
      </c>
    </row>
    <row r="19">
      <c r="A19" s="6" t="inlineStr">
        <is>
          <t>C018</t>
        </is>
      </c>
      <c r="B19" s="6" t="inlineStr">
        <is>
          <t>Asier León</t>
        </is>
      </c>
      <c r="C19" s="6" t="inlineStr">
        <is>
          <t>Club B2B</t>
        </is>
      </c>
      <c r="D19" s="6" t="inlineStr">
        <is>
          <t>asier.leon@freiduria-santurtzi.eus</t>
        </is>
      </c>
      <c r="E19" s="6" t="inlineStr">
        <is>
          <t>944221100</t>
        </is>
      </c>
      <c r="F19" s="6" t="inlineStr">
        <is>
          <t>Bizkaia</t>
        </is>
      </c>
      <c r="G19" s="7" t="n">
        <v>43748</v>
      </c>
      <c r="H19" s="6" t="n"/>
    </row>
    <row r="20">
      <c r="A20" s="6" t="inlineStr">
        <is>
          <t>C019</t>
        </is>
      </c>
      <c r="B20" s="6" t="inlineStr">
        <is>
          <t>Maite Prieto</t>
        </is>
      </c>
      <c r="C20" s="6" t="inlineStr">
        <is>
          <t>Particular</t>
        </is>
      </c>
      <c r="D20" s="6" t="inlineStr">
        <is>
          <t>maite.prieto@gmail.com</t>
        </is>
      </c>
      <c r="E20" s="6" t="inlineStr">
        <is>
          <t>677001199</t>
        </is>
      </c>
      <c r="F20" s="6" t="inlineStr">
        <is>
          <t>Gipuzkoa</t>
        </is>
      </c>
      <c r="G20" s="7" t="n">
        <v>43925</v>
      </c>
      <c r="H20" s="6" t="inlineStr">
        <is>
          <t>Sí</t>
        </is>
      </c>
    </row>
    <row r="21">
      <c r="A21" s="6" t="inlineStr">
        <is>
          <t>C020</t>
        </is>
      </c>
      <c r="B21" s="6" t="inlineStr">
        <is>
          <t>Xabier Cano</t>
        </is>
      </c>
      <c r="C21" s="6" t="inlineStr">
        <is>
          <t>Club B2B</t>
        </is>
      </c>
      <c r="D21" s="6" t="inlineStr">
        <is>
          <t>xabier.cano@bodega-abadino.eus</t>
        </is>
      </c>
      <c r="E21" s="6" t="inlineStr">
        <is>
          <t>944665544</t>
        </is>
      </c>
      <c r="F21" s="6" t="inlineStr">
        <is>
          <t>Bizkaia</t>
        </is>
      </c>
      <c r="G21" s="7" t="n">
        <v>43129</v>
      </c>
      <c r="H21" s="6" t="inlineStr">
        <is>
          <t>Sí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0" customWidth="1" min="4" max="4"/>
    <col width="12" customWidth="1" min="5" max="5"/>
    <col width="11" customWidth="1" min="6" max="6"/>
    <col width="13" customWidth="1" min="7" max="7"/>
    <col width="10" customWidth="1" min="8" max="8"/>
  </cols>
  <sheetData>
    <row r="1">
      <c r="A1" s="5" t="inlineStr">
        <is>
          <t>ID Pedido</t>
        </is>
      </c>
      <c r="B1" s="5" t="inlineStr">
        <is>
          <t>ID Cliente</t>
        </is>
      </c>
      <c r="C1" s="5" t="inlineStr">
        <is>
          <t>Fecha</t>
        </is>
      </c>
      <c r="D1" s="5" t="inlineStr">
        <is>
          <t>Canal</t>
        </is>
      </c>
      <c r="E1" s="5" t="inlineStr">
        <is>
          <t>Estado</t>
        </is>
      </c>
      <c r="F1" s="5" t="inlineStr">
        <is>
          <t>Coste (€)</t>
        </is>
      </c>
      <c r="G1" s="5" t="inlineStr">
        <is>
          <t>Importe (€)</t>
        </is>
      </c>
      <c r="H1" s="5" t="inlineStr">
        <is>
          <t>Margen %</t>
        </is>
      </c>
    </row>
    <row r="2">
      <c r="A2" s="6" t="inlineStr">
        <is>
          <t>P-1001</t>
        </is>
      </c>
      <c r="B2" s="6" t="inlineStr">
        <is>
          <t>C001</t>
        </is>
      </c>
      <c r="C2" s="7" t="n">
        <v>45306</v>
      </c>
      <c r="D2" s="6" t="inlineStr">
        <is>
          <t>Tienda</t>
        </is>
      </c>
      <c r="E2" s="6" t="inlineStr">
        <is>
          <t>Pagado</t>
        </is>
      </c>
      <c r="F2" s="6" t="n">
        <v>60</v>
      </c>
      <c r="G2" s="6" t="n">
        <v>95</v>
      </c>
      <c r="H2" s="6">
        <f>IFERROR((G2-F2)/G2,"")</f>
        <v/>
      </c>
    </row>
    <row r="3">
      <c r="A3" s="6" t="inlineStr">
        <is>
          <t>P-1002</t>
        </is>
      </c>
      <c r="B3" s="6" t="inlineStr">
        <is>
          <t>C002</t>
        </is>
      </c>
      <c r="C3" s="7" t="n">
        <v>45309</v>
      </c>
      <c r="D3" s="6" t="inlineStr">
        <is>
          <t>Online</t>
        </is>
      </c>
      <c r="E3" s="6" t="inlineStr">
        <is>
          <t>Pagado</t>
        </is>
      </c>
      <c r="F3" s="6" t="n">
        <v>30</v>
      </c>
      <c r="G3" s="6" t="n">
        <v>48</v>
      </c>
      <c r="H3" s="6">
        <f>IFERROR((G3-F3)/G3,"")</f>
        <v/>
      </c>
    </row>
    <row r="4">
      <c r="A4" s="6" t="inlineStr">
        <is>
          <t>P-1003</t>
        </is>
      </c>
      <c r="B4" s="6" t="inlineStr">
        <is>
          <t>C003</t>
        </is>
      </c>
      <c r="C4" s="7" t="n">
        <v>45324</v>
      </c>
      <c r="D4" s="6" t="inlineStr">
        <is>
          <t>B2B</t>
        </is>
      </c>
      <c r="E4" s="6" t="inlineStr">
        <is>
          <t>Pendiente</t>
        </is>
      </c>
      <c r="F4" s="6" t="n">
        <v>400</v>
      </c>
      <c r="G4" s="6" t="n">
        <v>610</v>
      </c>
      <c r="H4" s="6">
        <f>IFERROR((G4-F4)/G4,"")</f>
        <v/>
      </c>
    </row>
    <row r="5">
      <c r="A5" s="6" t="inlineStr">
        <is>
          <t>P-1004</t>
        </is>
      </c>
      <c r="B5" s="6" t="inlineStr">
        <is>
          <t>C099</t>
        </is>
      </c>
      <c r="C5" s="7" t="n">
        <v>45329</v>
      </c>
      <c r="D5" s="6" t="inlineStr">
        <is>
          <t>Online</t>
        </is>
      </c>
      <c r="E5" s="6" t="inlineStr">
        <is>
          <t>pagado</t>
        </is>
      </c>
      <c r="F5" s="6" t="n">
        <v>20</v>
      </c>
      <c r="G5" s="6" t="n">
        <v>33</v>
      </c>
      <c r="H5" s="6">
        <f>IFERROR((G5-F5)/G5,"")</f>
        <v/>
      </c>
    </row>
    <row r="6">
      <c r="A6" s="6" t="inlineStr">
        <is>
          <t>P-1005</t>
        </is>
      </c>
      <c r="B6" s="6" t="inlineStr">
        <is>
          <t>C004</t>
        </is>
      </c>
      <c r="C6" s="6" t="inlineStr">
        <is>
          <t>2024-05-03</t>
        </is>
      </c>
      <c r="D6" s="6" t="inlineStr">
        <is>
          <t>tienda</t>
        </is>
      </c>
      <c r="E6" s="6" t="inlineStr">
        <is>
          <t>Pagado</t>
        </is>
      </c>
      <c r="F6" s="6" t="n">
        <v>50</v>
      </c>
      <c r="G6" s="6" t="n">
        <v>80</v>
      </c>
      <c r="H6" s="6">
        <f>IFERROR((G6-F6)/G6,"")</f>
        <v/>
      </c>
    </row>
    <row r="7">
      <c r="A7" s="6" t="inlineStr">
        <is>
          <t>P-1006</t>
        </is>
      </c>
      <c r="B7" s="6" t="inlineStr">
        <is>
          <t>C005</t>
        </is>
      </c>
      <c r="C7" s="7" t="n">
        <v>45361</v>
      </c>
      <c r="D7" s="6" t="inlineStr">
        <is>
          <t>B2B</t>
        </is>
      </c>
      <c r="E7" s="6" t="inlineStr">
        <is>
          <t>PENDIENTE</t>
        </is>
      </c>
      <c r="F7" s="6" t="n">
        <v>300</v>
      </c>
      <c r="G7" s="6" t="inlineStr">
        <is>
          <t>1.234,50 €</t>
        </is>
      </c>
      <c r="H7" s="6">
        <f>IFERROR((G7-F7)/G7,"")</f>
        <v/>
      </c>
    </row>
    <row r="8">
      <c r="A8" s="6" t="inlineStr">
        <is>
          <t>P-1007</t>
        </is>
      </c>
      <c r="B8" s="6" t="inlineStr">
        <is>
          <t>C006</t>
        </is>
      </c>
      <c r="C8" s="7" t="n">
        <v>45363</v>
      </c>
      <c r="D8" s="6" t="inlineStr">
        <is>
          <t>Online</t>
        </is>
      </c>
      <c r="E8" s="6" t="inlineStr">
        <is>
          <t>Cancelado</t>
        </is>
      </c>
      <c r="F8" s="6" t="n">
        <v>15</v>
      </c>
      <c r="G8" s="6" t="n">
        <v>25</v>
      </c>
      <c r="H8" s="6">
        <f>IFERROR((G8-F8)/G8,"")</f>
        <v/>
      </c>
    </row>
    <row r="9">
      <c r="A9" s="6" t="inlineStr">
        <is>
          <t>P-1007</t>
        </is>
      </c>
      <c r="B9" s="6" t="inlineStr">
        <is>
          <t>C007</t>
        </is>
      </c>
      <c r="C9" s="7" t="n">
        <v>45366</v>
      </c>
      <c r="D9" s="6" t="inlineStr">
        <is>
          <t>Tienda</t>
        </is>
      </c>
      <c r="E9" s="6" t="inlineStr">
        <is>
          <t>pagado</t>
        </is>
      </c>
      <c r="F9" s="6" t="n">
        <v>40</v>
      </c>
      <c r="G9" s="6" t="n">
        <v>70</v>
      </c>
      <c r="H9" s="6">
        <f>IFERROR((G9-F9)/G9,"")</f>
        <v/>
      </c>
    </row>
    <row r="10">
      <c r="A10" s="6" t="inlineStr">
        <is>
          <t>P-1009</t>
        </is>
      </c>
      <c r="B10" s="6" t="inlineStr">
        <is>
          <t>C008</t>
        </is>
      </c>
      <c r="C10" s="7" t="n">
        <v>45371</v>
      </c>
      <c r="D10" s="6" t="inlineStr">
        <is>
          <t>b2b</t>
        </is>
      </c>
      <c r="E10" s="6" t="inlineStr">
        <is>
          <t>Pagado</t>
        </is>
      </c>
      <c r="F10" s="6" t="n">
        <v>500</v>
      </c>
      <c r="G10" s="6" t="n">
        <v>18500</v>
      </c>
      <c r="H10" s="6">
        <f>IFERROR((G10-F10)/G10,"")</f>
        <v/>
      </c>
    </row>
    <row r="11">
      <c r="A11" s="6" t="inlineStr">
        <is>
          <t>P-1010</t>
        </is>
      </c>
      <c r="B11" s="6" t="inlineStr">
        <is>
          <t>C009</t>
        </is>
      </c>
      <c r="C11" s="7" t="n">
        <v>45383</v>
      </c>
      <c r="D11" s="6" t="inlineStr">
        <is>
          <t>B2B</t>
        </is>
      </c>
      <c r="E11" s="6" t="inlineStr">
        <is>
          <t>Pagado</t>
        </is>
      </c>
      <c r="F11" s="6" t="n">
        <v>200</v>
      </c>
      <c r="G11" s="6" t="n">
        <v>320</v>
      </c>
      <c r="H11" s="6">
        <f>IFERROR((G11-F11)/G11,"")</f>
        <v/>
      </c>
    </row>
    <row r="12">
      <c r="A12" s="6" t="inlineStr">
        <is>
          <t>P-1011</t>
        </is>
      </c>
      <c r="B12" s="6" t="inlineStr">
        <is>
          <t>C010</t>
        </is>
      </c>
      <c r="C12" s="7" t="n">
        <v>45387</v>
      </c>
      <c r="D12" s="6" t="inlineStr">
        <is>
          <t>Online</t>
        </is>
      </c>
      <c r="E12" s="6" t="inlineStr">
        <is>
          <t>pdte</t>
        </is>
      </c>
      <c r="F12" s="6" t="n">
        <v>25</v>
      </c>
      <c r="G12" s="6" t="n">
        <v>40</v>
      </c>
      <c r="H12" s="6">
        <f>IFERROR((G12-F12)/G12,"")</f>
        <v/>
      </c>
    </row>
    <row r="13">
      <c r="A13" s="6" t="inlineStr">
        <is>
          <t>P-1012</t>
        </is>
      </c>
      <c r="B13" s="6" t="inlineStr">
        <is>
          <t>C012</t>
        </is>
      </c>
      <c r="C13" s="7" t="n">
        <v>45391</v>
      </c>
      <c r="D13" s="6" t="inlineStr">
        <is>
          <t>Tienda</t>
        </is>
      </c>
      <c r="E13" s="6" t="inlineStr">
        <is>
          <t>Pagado</t>
        </is>
      </c>
      <c r="F13" s="6" t="n">
        <v>60</v>
      </c>
      <c r="G13" s="6" t="n">
        <v>0</v>
      </c>
      <c r="H13" s="6">
        <f>IFERROR((G13-F13)/G13,"")</f>
        <v/>
      </c>
    </row>
    <row r="14">
      <c r="A14" s="6" t="inlineStr">
        <is>
          <t>P-1013</t>
        </is>
      </c>
      <c r="B14" s="6" t="inlineStr">
        <is>
          <t>C013</t>
        </is>
      </c>
      <c r="C14" s="7" t="n">
        <v>45396</v>
      </c>
      <c r="D14" s="6" t="inlineStr">
        <is>
          <t>ONLINE</t>
        </is>
      </c>
      <c r="E14" s="6" t="inlineStr">
        <is>
          <t>Pagado</t>
        </is>
      </c>
      <c r="F14" s="6" t="n">
        <v>45</v>
      </c>
      <c r="G14" s="6" t="n">
        <v>72</v>
      </c>
      <c r="H14" s="6">
        <f>IFERROR((G14-F14)/G14,"")</f>
        <v/>
      </c>
    </row>
    <row r="15">
      <c r="A15" s="6" t="inlineStr">
        <is>
          <t>P-1014</t>
        </is>
      </c>
      <c r="B15" s="6" t="inlineStr">
        <is>
          <t>C014</t>
        </is>
      </c>
      <c r="C15" s="7" t="n">
        <v>45402</v>
      </c>
      <c r="D15" s="6" t="inlineStr">
        <is>
          <t>Tienda</t>
        </is>
      </c>
      <c r="E15" s="6" t="inlineStr">
        <is>
          <t>Pagado</t>
        </is>
      </c>
      <c r="F15" s="6" t="n">
        <v>30</v>
      </c>
      <c r="G15" s="6" t="n">
        <v>-45</v>
      </c>
      <c r="H15" s="6">
        <f>IFERROR((G15-F15)/G15,"")</f>
        <v/>
      </c>
    </row>
    <row r="16">
      <c r="A16" s="6" t="inlineStr">
        <is>
          <t>P-1015</t>
        </is>
      </c>
      <c r="B16" s="6" t="inlineStr">
        <is>
          <t>C015</t>
        </is>
      </c>
      <c r="C16" s="7" t="n">
        <v>45414</v>
      </c>
      <c r="D16" s="6" t="inlineStr">
        <is>
          <t>B2B</t>
        </is>
      </c>
      <c r="E16" s="6" t="inlineStr">
        <is>
          <t>Pendiente</t>
        </is>
      </c>
      <c r="F16" s="6" t="n">
        <v>220</v>
      </c>
      <c r="G16" s="6" t="n">
        <v>350</v>
      </c>
      <c r="H16" s="6">
        <f>IFERROR((G16-F16)/G16,"")</f>
        <v/>
      </c>
    </row>
    <row r="17">
      <c r="A17" s="6" t="inlineStr">
        <is>
          <t>P-1016</t>
        </is>
      </c>
      <c r="B17" s="6" t="inlineStr">
        <is>
          <t>C045</t>
        </is>
      </c>
      <c r="C17" s="7" t="n">
        <v>45418</v>
      </c>
      <c r="D17" s="6" t="inlineStr">
        <is>
          <t>Online</t>
        </is>
      </c>
      <c r="E17" s="6" t="inlineStr">
        <is>
          <t>Pagado</t>
        </is>
      </c>
      <c r="F17" s="6" t="n">
        <v>18</v>
      </c>
      <c r="G17" s="6" t="n">
        <v>30</v>
      </c>
      <c r="H17" s="6">
        <f>IFERROR((G17-F17)/G17,"")</f>
        <v/>
      </c>
    </row>
    <row r="18">
      <c r="A18" s="6" t="inlineStr">
        <is>
          <t>P-1017</t>
        </is>
      </c>
      <c r="B18" s="6" t="inlineStr">
        <is>
          <t>C016</t>
        </is>
      </c>
      <c r="C18" s="6" t="inlineStr">
        <is>
          <t>2024-06-01</t>
        </is>
      </c>
      <c r="D18" s="6" t="inlineStr">
        <is>
          <t>Tienda</t>
        </is>
      </c>
      <c r="E18" s="6" t="inlineStr">
        <is>
          <t>cancel.</t>
        </is>
      </c>
      <c r="F18" s="6" t="n">
        <v>22</v>
      </c>
      <c r="G18" s="6" t="n">
        <v>38</v>
      </c>
      <c r="H18" s="6">
        <f>IFERROR((G18-F18)/G18,"")</f>
        <v/>
      </c>
    </row>
    <row r="19">
      <c r="A19" s="6" t="inlineStr">
        <is>
          <t>P-1018</t>
        </is>
      </c>
      <c r="B19" s="6" t="inlineStr">
        <is>
          <t>C017</t>
        </is>
      </c>
      <c r="C19" s="7" t="n">
        <v>45446</v>
      </c>
      <c r="D19" s="6" t="inlineStr">
        <is>
          <t>Online</t>
        </is>
      </c>
      <c r="E19" s="6" t="inlineStr">
        <is>
          <t>Pagado</t>
        </is>
      </c>
      <c r="F19" s="6" t="n">
        <v>40</v>
      </c>
      <c r="G19" s="6" t="n"/>
      <c r="H19" s="6">
        <f>IFERROR((G19-F19)/G19,"")</f>
        <v/>
      </c>
    </row>
    <row r="20">
      <c r="A20" s="6" t="inlineStr">
        <is>
          <t>P-1019</t>
        </is>
      </c>
      <c r="B20" s="6" t="inlineStr">
        <is>
          <t>C018</t>
        </is>
      </c>
      <c r="C20" s="7" t="n">
        <v>45453</v>
      </c>
      <c r="D20" s="6" t="inlineStr">
        <is>
          <t>B2B</t>
        </is>
      </c>
      <c r="E20" s="6" t="inlineStr">
        <is>
          <t>Pagado</t>
        </is>
      </c>
      <c r="F20" s="6" t="n">
        <v>350</v>
      </c>
      <c r="G20" s="6" t="n">
        <v>520</v>
      </c>
      <c r="H20" s="6">
        <f>IFERROR((G20-F20)/G20,"")</f>
        <v/>
      </c>
    </row>
    <row r="21">
      <c r="A21" s="6" t="inlineStr">
        <is>
          <t>P-1020</t>
        </is>
      </c>
      <c r="B21" s="6" t="inlineStr">
        <is>
          <t>C019</t>
        </is>
      </c>
      <c r="C21" s="7" t="n">
        <v>45458</v>
      </c>
      <c r="D21" s="6" t="inlineStr">
        <is>
          <t>Tienda</t>
        </is>
      </c>
      <c r="E21" s="6" t="inlineStr">
        <is>
          <t>Pagado</t>
        </is>
      </c>
      <c r="F21" s="6" t="n">
        <v>28</v>
      </c>
      <c r="G21" s="6" t="n">
        <v>44</v>
      </c>
      <c r="H21" s="6">
        <f>IFERROR((G21-F21)/G21,"")</f>
        <v/>
      </c>
    </row>
    <row r="22">
      <c r="A22" s="6" t="inlineStr">
        <is>
          <t>P-1021</t>
        </is>
      </c>
      <c r="B22" s="6" t="inlineStr">
        <is>
          <t>C020</t>
        </is>
      </c>
      <c r="C22" s="7" t="n">
        <v>46650</v>
      </c>
      <c r="D22" s="6" t="inlineStr">
        <is>
          <t>Online</t>
        </is>
      </c>
      <c r="E22" s="6" t="inlineStr">
        <is>
          <t>Pagado</t>
        </is>
      </c>
      <c r="F22" s="6" t="n">
        <v>33</v>
      </c>
      <c r="G22" s="6" t="n">
        <v>55</v>
      </c>
      <c r="H22" s="6">
        <f>IFERROR((G22-F22)/G22,"")</f>
        <v/>
      </c>
    </row>
    <row r="23">
      <c r="A23" s="6" t="inlineStr">
        <is>
          <t>P-1022</t>
        </is>
      </c>
      <c r="B23" s="6" t="inlineStr">
        <is>
          <t>C001</t>
        </is>
      </c>
      <c r="C23" s="7" t="n">
        <v>45474</v>
      </c>
      <c r="D23" s="6" t="inlineStr">
        <is>
          <t>Tienda</t>
        </is>
      </c>
      <c r="E23" s="6" t="inlineStr">
        <is>
          <t>Pagado</t>
        </is>
      </c>
      <c r="F23" s="6" t="n">
        <v>50</v>
      </c>
      <c r="G23" s="6" t="inlineStr">
        <is>
          <t>980,00 €</t>
        </is>
      </c>
      <c r="H23" s="6">
        <f>IFERROR((G23-F23)/G23,"")</f>
        <v/>
      </c>
    </row>
    <row r="24">
      <c r="A24" s="6" t="inlineStr">
        <is>
          <t>P-1023</t>
        </is>
      </c>
      <c r="B24" s="6" t="inlineStr">
        <is>
          <t>C002</t>
        </is>
      </c>
      <c r="C24" s="7" t="n">
        <v>45478</v>
      </c>
      <c r="D24" s="6" t="inlineStr">
        <is>
          <t>Online</t>
        </is>
      </c>
      <c r="E24" s="6" t="inlineStr">
        <is>
          <t>Pagado</t>
        </is>
      </c>
      <c r="F24" s="6" t="n">
        <v>20</v>
      </c>
      <c r="G24" s="6" t="n">
        <v>34</v>
      </c>
      <c r="H24" s="6">
        <f>IFERROR((G24-F24)/G24,"")</f>
        <v/>
      </c>
    </row>
    <row r="25">
      <c r="A25" s="6" t="inlineStr">
        <is>
          <t>P-1024</t>
        </is>
      </c>
      <c r="B25" s="6" t="inlineStr">
        <is>
          <t>C003</t>
        </is>
      </c>
      <c r="C25" s="7" t="n">
        <v>45482</v>
      </c>
      <c r="D25" s="6" t="inlineStr">
        <is>
          <t>B2B</t>
        </is>
      </c>
      <c r="E25" s="6" t="inlineStr">
        <is>
          <t>Pagado</t>
        </is>
      </c>
      <c r="F25" s="6" t="n">
        <v>260</v>
      </c>
      <c r="G25" s="6" t="n">
        <v>400</v>
      </c>
      <c r="H25" s="6">
        <f>IFERROR((G25-F25)/G25,"")</f>
        <v/>
      </c>
    </row>
    <row r="26">
      <c r="A26" s="6" t="inlineStr">
        <is>
          <t>P-1025</t>
        </is>
      </c>
      <c r="B26" s="6" t="inlineStr">
        <is>
          <t>C005</t>
        </is>
      </c>
      <c r="C26" s="7" t="n">
        <v>45487</v>
      </c>
      <c r="D26" s="6" t="inlineStr">
        <is>
          <t>Tienda</t>
        </is>
      </c>
      <c r="E26" s="6" t="inlineStr">
        <is>
          <t>Pagado</t>
        </is>
      </c>
      <c r="F26" s="6" t="n">
        <v>19</v>
      </c>
      <c r="G26" s="6" t="n">
        <v>31</v>
      </c>
      <c r="H26" s="6">
        <f>IFERROR((G26-F26)/G26,"")</f>
        <v/>
      </c>
    </row>
    <row r="27">
      <c r="A27" s="6" t="inlineStr">
        <is>
          <t>P-1026</t>
        </is>
      </c>
      <c r="B27" s="6" t="inlineStr">
        <is>
          <t>C008</t>
        </is>
      </c>
      <c r="C27" s="7" t="n">
        <v>45493</v>
      </c>
      <c r="D27" s="6" t="inlineStr">
        <is>
          <t>Online</t>
        </is>
      </c>
      <c r="E27" s="6" t="inlineStr">
        <is>
          <t>Pagado</t>
        </is>
      </c>
      <c r="F27" s="6" t="n">
        <v>42</v>
      </c>
      <c r="G27" s="6" t="n">
        <v>68</v>
      </c>
      <c r="H27" s="6">
        <f>IFERROR((G27-F27)/G27,"")</f>
        <v/>
      </c>
    </row>
    <row r="28">
      <c r="A28" s="6" t="inlineStr">
        <is>
          <t>TOTAL</t>
        </is>
      </c>
      <c r="B28" s="6" t="inlineStr"/>
      <c r="C28" s="6" t="inlineStr"/>
      <c r="D28" s="6" t="inlineStr"/>
      <c r="E28" s="6" t="inlineStr"/>
      <c r="F28" s="6">
        <f>SUM(F2:F27)</f>
        <v/>
      </c>
      <c r="G28" s="6">
        <f>SUM(G2:G27)</f>
        <v/>
      </c>
      <c r="H2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2026-08-31T10:55:02Z</dcterms:created>
  <dcterms:modified xsi:type="dcterms:W3CDTF">2026-08-31T10:55:02Z</dcterms:modified>
</cp:coreProperties>
</file>